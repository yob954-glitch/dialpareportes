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" sheetId="1" state="visible" r:id="rId1"/>
    <sheet xmlns:r="http://schemas.openxmlformats.org/officeDocument/2006/relationships" name="Liquidacion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Prec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F2D6B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F2D6B"/>
      </patternFill>
    </fill>
    <fill>
      <patternFill patternType="solid">
        <fgColor rgb="00065F46"/>
      </patternFill>
    </fill>
    <fill>
      <patternFill patternType="solid">
        <fgColor rgb="001A4AAD"/>
      </patternFill>
    </fill>
    <fill>
      <patternFill patternType="solid">
        <fgColor rgb="0000C6A2"/>
      </patternFill>
    </fill>
    <fill>
      <patternFill patternType="solid">
        <fgColor rgb="00F0F4FB"/>
      </patternFill>
    </fill>
    <fill>
      <patternFill patternType="solid">
        <fgColor rgb="00E8F0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E2F0"/>
      </left>
      <right style="thin">
        <color rgb="00D8E2F0"/>
      </right>
      <top style="thin">
        <color rgb="00D8E2F0"/>
      </top>
      <bottom style="thin">
        <color rgb="00D8E2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16" customWidth="1" min="5" max="5"/>
    <col width="55" customWidth="1" min="6" max="6"/>
    <col width="18" customWidth="1" min="7" max="7"/>
    <col width="14" customWidth="1" min="8" max="8"/>
    <col width="16" customWidth="1" min="9" max="9"/>
  </cols>
  <sheetData>
    <row r="1" ht="30" customHeight="1">
      <c r="A1" s="1" t="inlineStr">
        <is>
          <t>Fecha</t>
        </is>
      </c>
      <c r="B1" s="1" t="inlineStr">
        <is>
          <t>Hora</t>
        </is>
      </c>
      <c r="C1" s="1" t="inlineStr">
        <is>
          <t>Técnico</t>
        </is>
      </c>
      <c r="D1" s="1" t="inlineStr">
        <is>
          <t>MDM Fibra</t>
        </is>
      </c>
      <c r="E1" s="1" t="inlineStr">
        <is>
          <t>Código</t>
        </is>
      </c>
      <c r="F1" s="1" t="inlineStr">
        <is>
          <t>Actividad</t>
        </is>
      </c>
      <c r="G1" s="1" t="inlineStr">
        <is>
          <t>Categoría</t>
        </is>
      </c>
      <c r="H1" s="1" t="inlineStr">
        <is>
          <t>Valor</t>
        </is>
      </c>
      <c r="I1" s="1" t="inlineStr">
        <is>
          <t>Quincena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2" t="inlineStr">
        <is>
          <t>Fecha</t>
        </is>
      </c>
      <c r="B1" s="2" t="inlineStr">
        <is>
          <t>Técnico</t>
        </is>
      </c>
      <c r="C1" s="2" t="inlineStr">
        <is>
          <t>Quincena</t>
        </is>
      </c>
      <c r="D1" s="2" t="inlineStr">
        <is>
          <t>Órdenes</t>
        </is>
      </c>
      <c r="E1" s="2" t="inlineStr">
        <is>
          <t>Bruto</t>
        </is>
      </c>
      <c r="F1" s="2" t="inlineStr">
        <is>
          <t>Retención 5%</t>
        </is>
      </c>
      <c r="G1" s="2" t="inlineStr">
        <is>
          <t>Neto a Cobrar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0" customWidth="1" min="8" max="8"/>
  </cols>
  <sheetData>
    <row r="1" ht="30" customHeight="1">
      <c r="A1" s="1" t="inlineStr">
        <is>
          <t>TÉCNICO</t>
        </is>
      </c>
      <c r="B1" s="3" t="inlineStr">
        <is>
          <t>DUO ONT</t>
        </is>
      </c>
      <c r="C1" s="3" t="inlineStr">
        <is>
          <t>DUO 1AP</t>
        </is>
      </c>
      <c r="D1" s="3" t="inlineStr">
        <is>
          <t>DUO 2AP+</t>
        </is>
      </c>
      <c r="E1" s="3" t="inlineStr">
        <is>
          <t>TRIO½ ONT</t>
        </is>
      </c>
      <c r="F1" s="3" t="inlineStr">
        <is>
          <t>TRIO½ AP</t>
        </is>
      </c>
      <c r="G1" s="3" t="inlineStr">
        <is>
          <t>SOCIAL INT</t>
        </is>
      </c>
      <c r="H1" s="4" t="inlineStr">
        <is>
          <t>TOTAL</t>
        </is>
      </c>
    </row>
    <row r="2" ht="22" customHeight="1">
      <c r="A2" s="5" t="inlineStr">
        <is>
          <t>Yoban</t>
        </is>
      </c>
      <c r="B2" s="6">
        <f>COUNTIFS(Reportes!$C:$C,$A2,Reportes!$G:$G,"DUOS PELADOS")</f>
        <v/>
      </c>
      <c r="C2" s="6">
        <f>COUNTIFS(Reportes!$C:$C,$A2,Reportes!$G:$G,"DUOS 1 AP")</f>
        <v/>
      </c>
      <c r="D2" s="6">
        <f>COUNTIFS(Reportes!$C:$C,$A2,Reportes!$G:$G,"DUOS 2 AP o MAS")</f>
        <v/>
      </c>
      <c r="E2" s="6">
        <f>COUNTIFS(Reportes!$C:$C,$A2,Reportes!$G:$G,"TRIOS PELADOS")</f>
        <v/>
      </c>
      <c r="F2" s="6">
        <f>COUNTIFS(Reportes!$C:$C,$A2,Reportes!$G:$G,"TRIOS CON AP")</f>
        <v/>
      </c>
      <c r="G2" s="6">
        <f>COUNTIFS(Reportes!$C:$C,$A2,Reportes!$G:$G,"SOCIAL INTERNET")</f>
        <v/>
      </c>
      <c r="H2" s="7">
        <f>SUM(B2:G2)</f>
        <v/>
      </c>
    </row>
    <row r="3" ht="22" customHeight="1">
      <c r="A3" s="8" t="inlineStr">
        <is>
          <t>Román Suta Castro</t>
        </is>
      </c>
      <c r="B3" s="9">
        <f>COUNTIFS(Reportes!$C:$C,$A3,Reportes!$G:$G,"DUOS PELADOS")</f>
        <v/>
      </c>
      <c r="C3" s="9">
        <f>COUNTIFS(Reportes!$C:$C,$A3,Reportes!$G:$G,"DUOS 1 AP")</f>
        <v/>
      </c>
      <c r="D3" s="9">
        <f>COUNTIFS(Reportes!$C:$C,$A3,Reportes!$G:$G,"DUOS 2 AP o MAS")</f>
        <v/>
      </c>
      <c r="E3" s="9">
        <f>COUNTIFS(Reportes!$C:$C,$A3,Reportes!$G:$G,"TRIOS PELADOS")</f>
        <v/>
      </c>
      <c r="F3" s="9">
        <f>COUNTIFS(Reportes!$C:$C,$A3,Reportes!$G:$G,"TRIOS CON AP")</f>
        <v/>
      </c>
      <c r="G3" s="9">
        <f>COUNTIFS(Reportes!$C:$C,$A3,Reportes!$G:$G,"SOCIAL INTERNET")</f>
        <v/>
      </c>
      <c r="H3" s="7">
        <f>SUM(B3:G3)</f>
        <v/>
      </c>
    </row>
    <row r="4" ht="22" customHeight="1">
      <c r="A4" s="5" t="inlineStr">
        <is>
          <t>Alexander Caballero</t>
        </is>
      </c>
      <c r="B4" s="6">
        <f>COUNTIFS(Reportes!$C:$C,$A4,Reportes!$G:$G,"DUOS PELADOS")</f>
        <v/>
      </c>
      <c r="C4" s="6">
        <f>COUNTIFS(Reportes!$C:$C,$A4,Reportes!$G:$G,"DUOS 1 AP")</f>
        <v/>
      </c>
      <c r="D4" s="6">
        <f>COUNTIFS(Reportes!$C:$C,$A4,Reportes!$G:$G,"DUOS 2 AP o MAS")</f>
        <v/>
      </c>
      <c r="E4" s="6">
        <f>COUNTIFS(Reportes!$C:$C,$A4,Reportes!$G:$G,"TRIOS PELADOS")</f>
        <v/>
      </c>
      <c r="F4" s="6">
        <f>COUNTIFS(Reportes!$C:$C,$A4,Reportes!$G:$G,"TRIOS CON AP")</f>
        <v/>
      </c>
      <c r="G4" s="6">
        <f>COUNTIFS(Reportes!$C:$C,$A4,Reportes!$G:$G,"SOCIAL INTERNET")</f>
        <v/>
      </c>
      <c r="H4" s="7">
        <f>SUM(B4:G4)</f>
        <v/>
      </c>
    </row>
    <row r="5" ht="22" customHeight="1">
      <c r="A5" s="8" t="inlineStr">
        <is>
          <t>Andrés Sebastián Vélez</t>
        </is>
      </c>
      <c r="B5" s="9">
        <f>COUNTIFS(Reportes!$C:$C,$A5,Reportes!$G:$G,"DUOS PELADOS")</f>
        <v/>
      </c>
      <c r="C5" s="9">
        <f>COUNTIFS(Reportes!$C:$C,$A5,Reportes!$G:$G,"DUOS 1 AP")</f>
        <v/>
      </c>
      <c r="D5" s="9">
        <f>COUNTIFS(Reportes!$C:$C,$A5,Reportes!$G:$G,"DUOS 2 AP o MAS")</f>
        <v/>
      </c>
      <c r="E5" s="9">
        <f>COUNTIFS(Reportes!$C:$C,$A5,Reportes!$G:$G,"TRIOS PELADOS")</f>
        <v/>
      </c>
      <c r="F5" s="9">
        <f>COUNTIFS(Reportes!$C:$C,$A5,Reportes!$G:$G,"TRIOS CON AP")</f>
        <v/>
      </c>
      <c r="G5" s="9">
        <f>COUNTIFS(Reportes!$C:$C,$A5,Reportes!$G:$G,"SOCIAL INTERNET")</f>
        <v/>
      </c>
      <c r="H5" s="7">
        <f>SUM(B5:G5)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 ht="30" customHeight="1">
      <c r="A1" s="1" t="inlineStr">
        <is>
          <t>Código</t>
        </is>
      </c>
      <c r="B1" s="1" t="inlineStr">
        <is>
          <t>Actividad</t>
        </is>
      </c>
      <c r="C1" s="1" t="inlineStr">
        <is>
          <t>1 a 2 Órd.</t>
        </is>
      </c>
      <c r="D1" s="1" t="inlineStr">
        <is>
          <t>3 Órd.</t>
        </is>
      </c>
      <c r="E1" s="1" t="inlineStr">
        <is>
          <t>4+ Órd.</t>
        </is>
      </c>
      <c r="F1" s="1" t="inlineStr">
        <is>
          <t>Categoría App</t>
        </is>
      </c>
    </row>
    <row r="2" ht="18" customHeight="1">
      <c r="A2" s="6" t="inlineStr">
        <is>
          <t>350001049885</t>
        </is>
      </c>
      <c r="B2" s="10" t="inlineStr">
        <is>
          <t>HC SINGLE o DUO con ONT</t>
        </is>
      </c>
      <c r="C2" s="11" t="n">
        <v>37000</v>
      </c>
      <c r="D2" s="11" t="n">
        <v>43000</v>
      </c>
      <c r="E2" s="11" t="n">
        <v>47000</v>
      </c>
      <c r="F2" s="6" t="inlineStr">
        <is>
          <t>DUOS PELADOS</t>
        </is>
      </c>
    </row>
    <row r="3" ht="18" customHeight="1">
      <c r="A3" s="9" t="inlineStr">
        <is>
          <t>350001049886</t>
        </is>
      </c>
      <c r="B3" s="12" t="inlineStr">
        <is>
          <t>HC SINGLE o DUO con ONT con 1 AP</t>
        </is>
      </c>
      <c r="C3" s="13" t="n">
        <v>45000</v>
      </c>
      <c r="D3" s="13" t="n">
        <v>50000</v>
      </c>
      <c r="E3" s="13" t="n">
        <v>55000</v>
      </c>
      <c r="F3" s="9" t="inlineStr">
        <is>
          <t>DUOS 1 AP</t>
        </is>
      </c>
    </row>
    <row r="4" ht="18" customHeight="1">
      <c r="A4" s="6" t="inlineStr">
        <is>
          <t>350001049887</t>
        </is>
      </c>
      <c r="B4" s="10" t="inlineStr">
        <is>
          <t>HC SINGLE o DUO con ONT con 1 AP con 1 PUNTO DE RED</t>
        </is>
      </c>
      <c r="C4" s="11" t="n">
        <v>47000</v>
      </c>
      <c r="D4" s="11" t="n">
        <v>53000</v>
      </c>
      <c r="E4" s="11" t="n">
        <v>57000</v>
      </c>
      <c r="F4" s="6" t="inlineStr">
        <is>
          <t>DUOS 1 AP</t>
        </is>
      </c>
    </row>
    <row r="5" ht="18" customHeight="1">
      <c r="A5" s="9" t="inlineStr">
        <is>
          <t>350001049888</t>
        </is>
      </c>
      <c r="B5" s="12" t="inlineStr">
        <is>
          <t>HC SINGLE o DUO con ONT con 1 AP con 2 PUNTOS DE RED</t>
        </is>
      </c>
      <c r="C5" s="13" t="n">
        <v>48000</v>
      </c>
      <c r="D5" s="13" t="n">
        <v>55000</v>
      </c>
      <c r="E5" s="13" t="n">
        <v>60000</v>
      </c>
      <c r="F5" s="9" t="inlineStr">
        <is>
          <t>DUOS 1 AP</t>
        </is>
      </c>
    </row>
    <row r="6" ht="18" customHeight="1">
      <c r="A6" s="6" t="inlineStr">
        <is>
          <t>350001049889</t>
        </is>
      </c>
      <c r="B6" s="10" t="inlineStr">
        <is>
          <t>HC SINGLE o DUO con ONT con 1 PUNTO DE RED</t>
        </is>
      </c>
      <c r="C6" s="11" t="n">
        <v>37000</v>
      </c>
      <c r="D6" s="11" t="n">
        <v>43000</v>
      </c>
      <c r="E6" s="11" t="n">
        <v>47000</v>
      </c>
      <c r="F6" s="6" t="inlineStr">
        <is>
          <t>DUOS PELADOS</t>
        </is>
      </c>
    </row>
    <row r="7" ht="18" customHeight="1">
      <c r="A7" s="9" t="inlineStr">
        <is>
          <t>350001049890</t>
        </is>
      </c>
      <c r="B7" s="12" t="inlineStr">
        <is>
          <t>HC SINGLE o DUO con ONT con 2 AP</t>
        </is>
      </c>
      <c r="C7" s="13" t="n">
        <v>50000</v>
      </c>
      <c r="D7" s="13" t="n">
        <v>56000</v>
      </c>
      <c r="E7" s="13" t="n">
        <v>61000</v>
      </c>
      <c r="F7" s="9" t="inlineStr">
        <is>
          <t>DUOS 2 AP o MAS</t>
        </is>
      </c>
    </row>
    <row r="8" ht="18" customHeight="1">
      <c r="A8" s="6" t="inlineStr">
        <is>
          <t>350001049891</t>
        </is>
      </c>
      <c r="B8" s="10" t="inlineStr">
        <is>
          <t>HC SINGLE o DUO con ONT con 2 AP con 1 PUNTO DE RED</t>
        </is>
      </c>
      <c r="C8" s="11" t="n">
        <v>52000</v>
      </c>
      <c r="D8" s="11" t="n">
        <v>58000</v>
      </c>
      <c r="E8" s="11" t="n">
        <v>63000</v>
      </c>
      <c r="F8" s="6" t="inlineStr">
        <is>
          <t>DUOS 2 AP o MAS</t>
        </is>
      </c>
    </row>
    <row r="9" ht="18" customHeight="1">
      <c r="A9" s="9" t="inlineStr">
        <is>
          <t>350001049892</t>
        </is>
      </c>
      <c r="B9" s="12" t="inlineStr">
        <is>
          <t>HC SINGLE o DUO con ONT con 2 AP con 2 PUNTOS DE RED</t>
        </is>
      </c>
      <c r="C9" s="13" t="n">
        <v>60000</v>
      </c>
      <c r="D9" s="13" t="n">
        <v>66000</v>
      </c>
      <c r="E9" s="13" t="n">
        <v>70000</v>
      </c>
      <c r="F9" s="9" t="inlineStr">
        <is>
          <t>DUOS 2 AP o MAS</t>
        </is>
      </c>
    </row>
    <row r="10" ht="18" customHeight="1">
      <c r="A10" s="6" t="inlineStr">
        <is>
          <t>350001049893</t>
        </is>
      </c>
      <c r="B10" s="10" t="inlineStr">
        <is>
          <t>HC SINGLE o DUO con ONT con 2 PUNTOS DE RED</t>
        </is>
      </c>
      <c r="C10" s="11" t="n">
        <v>48000</v>
      </c>
      <c r="D10" s="11" t="n">
        <v>55000</v>
      </c>
      <c r="E10" s="11" t="n">
        <v>60000</v>
      </c>
      <c r="F10" s="6" t="inlineStr">
        <is>
          <t>DUOS PELADOS</t>
        </is>
      </c>
    </row>
    <row r="11" ht="18" customHeight="1">
      <c r="A11" s="9" t="inlineStr">
        <is>
          <t>350001049894</t>
        </is>
      </c>
      <c r="B11" s="12" t="inlineStr">
        <is>
          <t>HC SINGLE o DUO con ONT con 3 AP</t>
        </is>
      </c>
      <c r="C11" s="13" t="n">
        <v>54000</v>
      </c>
      <c r="D11" s="13" t="n">
        <v>60000</v>
      </c>
      <c r="E11" s="13" t="n">
        <v>65000</v>
      </c>
      <c r="F11" s="9" t="inlineStr">
        <is>
          <t>DUOS 2 AP o MAS</t>
        </is>
      </c>
    </row>
    <row r="12" ht="18" customHeight="1">
      <c r="A12" s="6" t="inlineStr">
        <is>
          <t>350001049895</t>
        </is>
      </c>
      <c r="B12" s="10" t="inlineStr">
        <is>
          <t>HC SINGLE o DUO con ONT con 3 AP con 1 PUNTO DE RED</t>
        </is>
      </c>
      <c r="C12" s="11" t="n">
        <v>56000</v>
      </c>
      <c r="D12" s="11" t="n">
        <v>62000</v>
      </c>
      <c r="E12" s="11" t="n">
        <v>68000</v>
      </c>
      <c r="F12" s="6" t="inlineStr">
        <is>
          <t>DUOS 2 AP o MAS</t>
        </is>
      </c>
    </row>
    <row r="13" ht="18" customHeight="1">
      <c r="A13" s="9" t="inlineStr">
        <is>
          <t>350001049896</t>
        </is>
      </c>
      <c r="B13" s="12" t="inlineStr">
        <is>
          <t>HC SINGLE o DUO con ONT con 3 AP con 2 PUNTOS DE RED</t>
        </is>
      </c>
      <c r="C13" s="13" t="n">
        <v>64000</v>
      </c>
      <c r="D13" s="13" t="n">
        <v>72000</v>
      </c>
      <c r="E13" s="13" t="n">
        <v>75000</v>
      </c>
      <c r="F13" s="9" t="inlineStr">
        <is>
          <t>DUOS 2 AP o MAS</t>
        </is>
      </c>
    </row>
    <row r="14" ht="18" customHeight="1">
      <c r="A14" s="6" t="inlineStr">
        <is>
          <t>350001049897</t>
        </is>
      </c>
      <c r="B14" s="10" t="inlineStr">
        <is>
          <t>HC SINGLE o DUO con ONT con 4 AP</t>
        </is>
      </c>
      <c r="C14" s="11" t="n">
        <v>56000</v>
      </c>
      <c r="D14" s="11" t="n">
        <v>64000</v>
      </c>
      <c r="E14" s="11" t="n">
        <v>70000</v>
      </c>
      <c r="F14" s="6" t="inlineStr">
        <is>
          <t>DUOS 2 AP o MAS</t>
        </is>
      </c>
    </row>
    <row r="15" ht="18" customHeight="1">
      <c r="A15" s="9" t="inlineStr">
        <is>
          <t>350001049898</t>
        </is>
      </c>
      <c r="B15" s="12" t="inlineStr">
        <is>
          <t>HC SINGLE o DUO con ONT con 4 AP con 1 PUNTO DE RED</t>
        </is>
      </c>
      <c r="C15" s="13" t="n">
        <v>58000</v>
      </c>
      <c r="D15" s="13" t="n">
        <v>65000</v>
      </c>
      <c r="E15" s="13" t="n">
        <v>72000</v>
      </c>
      <c r="F15" s="9" t="inlineStr">
        <is>
          <t>DUOS 2 AP o MAS</t>
        </is>
      </c>
    </row>
    <row r="16" ht="18" customHeight="1">
      <c r="A16" s="6" t="inlineStr">
        <is>
          <t>350001049899</t>
        </is>
      </c>
      <c r="B16" s="10" t="inlineStr">
        <is>
          <t>HC SINGLE o DUO con ONT con 4 AP con 2 PUNTOS DE RED</t>
        </is>
      </c>
      <c r="C16" s="11" t="n">
        <v>66000</v>
      </c>
      <c r="D16" s="11" t="n">
        <v>75000</v>
      </c>
      <c r="E16" s="11" t="n">
        <v>78000</v>
      </c>
      <c r="F16" s="6" t="inlineStr">
        <is>
          <t>DUOS 2 AP o MAS</t>
        </is>
      </c>
    </row>
    <row r="17" ht="18" customHeight="1">
      <c r="A17" s="9" t="inlineStr">
        <is>
          <t>350001056826</t>
        </is>
      </c>
      <c r="B17" s="12" t="inlineStr">
        <is>
          <t>HC SINGLE o DUO con ONT - Social Internet</t>
        </is>
      </c>
      <c r="C17" s="13" t="n">
        <v>35000</v>
      </c>
      <c r="D17" s="13" t="n">
        <v>41000</v>
      </c>
      <c r="E17" s="13" t="n">
        <v>45000</v>
      </c>
      <c r="F17" s="9" t="inlineStr">
        <is>
          <t>SOCIAL INTERNET</t>
        </is>
      </c>
    </row>
    <row r="18" ht="18" customHeight="1">
      <c r="A18" s="6" t="inlineStr">
        <is>
          <t>350001049900</t>
        </is>
      </c>
      <c r="B18" s="10" t="inlineStr">
        <is>
          <t>HC TRIO (1/2 STB) o DUO TV (1/2 STB) con ONT</t>
        </is>
      </c>
      <c r="C18" s="11" t="n">
        <v>48000</v>
      </c>
      <c r="D18" s="11" t="n">
        <v>55000</v>
      </c>
      <c r="E18" s="11" t="n">
        <v>63000</v>
      </c>
      <c r="F18" s="6" t="inlineStr">
        <is>
          <t>TRIOS PELADOS</t>
        </is>
      </c>
    </row>
    <row r="19" ht="18" customHeight="1">
      <c r="A19" s="9" t="inlineStr">
        <is>
          <t>350001049901</t>
        </is>
      </c>
      <c r="B19" s="12" t="inlineStr">
        <is>
          <t>HC TRIO (1/2 STB) o DUO TV (1/2 STB) con ONT con 1 AP</t>
        </is>
      </c>
      <c r="C19" s="13" t="n">
        <v>52000</v>
      </c>
      <c r="D19" s="13" t="n">
        <v>60000</v>
      </c>
      <c r="E19" s="13" t="n">
        <v>68000</v>
      </c>
      <c r="F19" s="9" t="inlineStr">
        <is>
          <t>TRIOS CON AP</t>
        </is>
      </c>
    </row>
    <row r="20" ht="18" customHeight="1">
      <c r="A20" s="6" t="inlineStr">
        <is>
          <t>350001049902</t>
        </is>
      </c>
      <c r="B20" s="10" t="inlineStr">
        <is>
          <t>HC TRIO (1/2 STB) o DUO TV (1/2 STB) con ONT con 1 AP con 1 PUNTO DE RED</t>
        </is>
      </c>
      <c r="C20" s="11" t="n">
        <v>58000</v>
      </c>
      <c r="D20" s="11" t="n">
        <v>67000</v>
      </c>
      <c r="E20" s="11" t="n">
        <v>75000</v>
      </c>
      <c r="F20" s="6" t="inlineStr">
        <is>
          <t>TRIOS CON AP</t>
        </is>
      </c>
    </row>
    <row r="21" ht="18" customHeight="1">
      <c r="A21" s="9" t="inlineStr">
        <is>
          <t>350001049903</t>
        </is>
      </c>
      <c r="B21" s="12" t="inlineStr">
        <is>
          <t>HC TRIO (1/2 STB) o DUO TV (1/2 STB) con ONT con 1 AP con 2 PUNTOS DE RED</t>
        </is>
      </c>
      <c r="C21" s="13" t="n">
        <v>64000</v>
      </c>
      <c r="D21" s="13" t="n">
        <v>75000</v>
      </c>
      <c r="E21" s="13" t="n">
        <v>80000</v>
      </c>
      <c r="F21" s="9" t="inlineStr">
        <is>
          <t>TRIOS CON AP</t>
        </is>
      </c>
    </row>
    <row r="22" ht="18" customHeight="1">
      <c r="A22" s="6" t="inlineStr">
        <is>
          <t>350001049904</t>
        </is>
      </c>
      <c r="B22" s="10" t="inlineStr">
        <is>
          <t>HC TRIO (1/2 STB) o DUO TV (1/2 STB) con ONT con 1 PUNTO DE RED</t>
        </is>
      </c>
      <c r="C22" s="11" t="n">
        <v>48000</v>
      </c>
      <c r="D22" s="11" t="n">
        <v>55000</v>
      </c>
      <c r="E22" s="11" t="n">
        <v>63000</v>
      </c>
      <c r="F22" s="6" t="inlineStr">
        <is>
          <t>TRIOS PELADOS</t>
        </is>
      </c>
    </row>
    <row r="23" ht="18" customHeight="1">
      <c r="A23" s="9" t="inlineStr">
        <is>
          <t>350001049905</t>
        </is>
      </c>
      <c r="B23" s="12" t="inlineStr">
        <is>
          <t>HC TRIO (1/2 STB) o DUO TV (1/2 STB) con ONT con 2 AP</t>
        </is>
      </c>
      <c r="C23" s="13" t="n">
        <v>68000</v>
      </c>
      <c r="D23" s="13" t="n">
        <v>77000</v>
      </c>
      <c r="E23" s="13" t="n">
        <v>85000</v>
      </c>
      <c r="F23" s="9" t="inlineStr">
        <is>
          <t>TRIOS CON AP</t>
        </is>
      </c>
    </row>
    <row r="24" ht="18" customHeight="1">
      <c r="A24" s="6" t="inlineStr">
        <is>
          <t>350001049906</t>
        </is>
      </c>
      <c r="B24" s="10" t="inlineStr">
        <is>
          <t>HC TRIO (1/2 STB) o DUO TV (1/2 STB) con ONT con 2 AP con 1 PUNTO DE RED</t>
        </is>
      </c>
      <c r="C24" s="11" t="n">
        <v>68000</v>
      </c>
      <c r="D24" s="11" t="n">
        <v>77000</v>
      </c>
      <c r="E24" s="11" t="n">
        <v>85000</v>
      </c>
      <c r="F24" s="6" t="inlineStr">
        <is>
          <t>TRIOS CON AP</t>
        </is>
      </c>
    </row>
    <row r="25" ht="18" customHeight="1">
      <c r="A25" s="9" t="inlineStr">
        <is>
          <t>350001049907</t>
        </is>
      </c>
      <c r="B25" s="12" t="inlineStr">
        <is>
          <t>HC TRIO (1/2 STB) o DUO TV (1/2 STB) con ONT con 2 AP con 2 PUNTOS DE RED</t>
        </is>
      </c>
      <c r="C25" s="13" t="n">
        <v>74000</v>
      </c>
      <c r="D25" s="13" t="n">
        <v>80000</v>
      </c>
      <c r="E25" s="13" t="n">
        <v>90000</v>
      </c>
      <c r="F25" s="9" t="inlineStr">
        <is>
          <t>TRIOS CON AP</t>
        </is>
      </c>
    </row>
    <row r="26" ht="18" customHeight="1">
      <c r="A26" s="6" t="inlineStr">
        <is>
          <t>350001049908</t>
        </is>
      </c>
      <c r="B26" s="10" t="inlineStr">
        <is>
          <t>HC TRIO (1/2 STB) o DUO TV (1/2 STB) con ONT con 2 PUNTOS DE RED</t>
        </is>
      </c>
      <c r="C26" s="11" t="n">
        <v>60000</v>
      </c>
      <c r="D26" s="11" t="n">
        <v>69000</v>
      </c>
      <c r="E26" s="11" t="n">
        <v>77000</v>
      </c>
      <c r="F26" s="6" t="inlineStr">
        <is>
          <t>TRIOS PELADOS</t>
        </is>
      </c>
    </row>
    <row r="27" ht="18" customHeight="1">
      <c r="A27" s="9" t="inlineStr">
        <is>
          <t>350001049909</t>
        </is>
      </c>
      <c r="B27" s="12" t="inlineStr">
        <is>
          <t>HC TRIO (1/2 STB) o DUO TV (1/2 STB) con ONT con 3 AP</t>
        </is>
      </c>
      <c r="C27" s="13" t="n">
        <v>68000</v>
      </c>
      <c r="D27" s="13" t="n">
        <v>75000</v>
      </c>
      <c r="E27" s="13" t="n">
        <v>84000</v>
      </c>
      <c r="F27" s="9" t="inlineStr">
        <is>
          <t>TRIOS CON AP</t>
        </is>
      </c>
    </row>
    <row r="28" ht="18" customHeight="1">
      <c r="A28" s="6" t="inlineStr">
        <is>
          <t>350001049910</t>
        </is>
      </c>
      <c r="B28" s="10" t="inlineStr">
        <is>
          <t>HC TRIO (1/2 STB) o DUO TV (1/2 STB) con ONT con 3 AP con 1 PUNTO DE RED</t>
        </is>
      </c>
      <c r="C28" s="11" t="n">
        <v>70000</v>
      </c>
      <c r="D28" s="11" t="n">
        <v>77000</v>
      </c>
      <c r="E28" s="11" t="n">
        <v>86000</v>
      </c>
      <c r="F28" s="6" t="inlineStr">
        <is>
          <t>TRIOS CON AP</t>
        </is>
      </c>
    </row>
    <row r="29" ht="18" customHeight="1">
      <c r="A29" s="9" t="inlineStr">
        <is>
          <t>350001049911</t>
        </is>
      </c>
      <c r="B29" s="12" t="inlineStr">
        <is>
          <t>HC TRIO (1/2 STB) o DUO TV (1/2 STB) con ONT con 3 AP con 2 PUNTOS DE RED</t>
        </is>
      </c>
      <c r="C29" s="13" t="n">
        <v>80000</v>
      </c>
      <c r="D29" s="13" t="n">
        <v>85000</v>
      </c>
      <c r="E29" s="13" t="n">
        <v>95000</v>
      </c>
      <c r="F29" s="9" t="inlineStr">
        <is>
          <t>TRIOS CON AP</t>
        </is>
      </c>
    </row>
    <row r="30" ht="18" customHeight="1">
      <c r="A30" s="6" t="inlineStr">
        <is>
          <t>350001049912</t>
        </is>
      </c>
      <c r="B30" s="10" t="inlineStr">
        <is>
          <t>HC TRIO (1/2 STB) o DUO TV (1/2 STB) con ONT con 4 AP</t>
        </is>
      </c>
      <c r="C30" s="11" t="n">
        <v>70000</v>
      </c>
      <c r="D30" s="11" t="n">
        <v>77000</v>
      </c>
      <c r="E30" s="11" t="n">
        <v>85000</v>
      </c>
      <c r="F30" s="6" t="inlineStr">
        <is>
          <t>TRIOS CON AP</t>
        </is>
      </c>
    </row>
    <row r="31" ht="18" customHeight="1">
      <c r="A31" s="9" t="inlineStr">
        <is>
          <t>350001049913</t>
        </is>
      </c>
      <c r="B31" s="12" t="inlineStr">
        <is>
          <t>HC TRIO (1/2 STB) o DUO TV (1/2 STB) con ONT con 4 AP con 1 PUNTO DE RED</t>
        </is>
      </c>
      <c r="C31" s="13" t="n">
        <v>72000</v>
      </c>
      <c r="D31" s="13" t="n">
        <v>80000</v>
      </c>
      <c r="E31" s="13" t="n">
        <v>88000</v>
      </c>
      <c r="F31" s="9" t="inlineStr">
        <is>
          <t>TRIOS CON AP</t>
        </is>
      </c>
    </row>
    <row r="32" ht="18" customHeight="1">
      <c r="A32" s="6" t="inlineStr">
        <is>
          <t>350001049914</t>
        </is>
      </c>
      <c r="B32" s="10" t="inlineStr">
        <is>
          <t>HC TRIO (1/2 STB) o DUO TV (1/2 STB) con ONT con 4 AP con 2 PUNTOS DE RED</t>
        </is>
      </c>
      <c r="C32" s="11" t="n">
        <v>82000</v>
      </c>
      <c r="D32" s="11" t="n">
        <v>86000</v>
      </c>
      <c r="E32" s="11" t="n">
        <v>90000</v>
      </c>
      <c r="F32" s="6" t="inlineStr">
        <is>
          <t>TRIOS CON AP</t>
        </is>
      </c>
    </row>
    <row r="33" ht="18" customHeight="1">
      <c r="A33" s="9" t="inlineStr">
        <is>
          <t>350001049915</t>
        </is>
      </c>
      <c r="B33" s="12" t="inlineStr">
        <is>
          <t>HC TRIO (3/4 STB) o DUO TV (3/4 STB) con ONT</t>
        </is>
      </c>
      <c r="C33" s="13" t="n">
        <v>68000</v>
      </c>
      <c r="D33" s="13" t="n">
        <v>76000</v>
      </c>
      <c r="E33" s="13" t="n">
        <v>86000</v>
      </c>
      <c r="F33" s="9" t="inlineStr">
        <is>
          <t>TRIOS PELADOS</t>
        </is>
      </c>
    </row>
    <row r="34" ht="18" customHeight="1">
      <c r="A34" s="6" t="inlineStr">
        <is>
          <t>350001049916</t>
        </is>
      </c>
      <c r="B34" s="10" t="inlineStr">
        <is>
          <t>HC TRIO (3/4 STB) o DUO TV (3/4 STB) con ONT con 1 AP</t>
        </is>
      </c>
      <c r="C34" s="11" t="n">
        <v>77000</v>
      </c>
      <c r="D34" s="11" t="n">
        <v>88000</v>
      </c>
      <c r="E34" s="11" t="n">
        <v>100000</v>
      </c>
      <c r="F34" s="6" t="inlineStr">
        <is>
          <t>TRIOS CON AP</t>
        </is>
      </c>
    </row>
    <row r="35" ht="18" customHeight="1">
      <c r="A35" s="9" t="inlineStr">
        <is>
          <t>350001049917</t>
        </is>
      </c>
      <c r="B35" s="12" t="inlineStr">
        <is>
          <t>HC TRIO (3/4 STB) o DUO TV (3/4 STB) con ONT con 1 AP con 1 PUNTO DE RED</t>
        </is>
      </c>
      <c r="C35" s="13" t="n">
        <v>80000</v>
      </c>
      <c r="D35" s="13" t="n">
        <v>90000</v>
      </c>
      <c r="E35" s="13" t="n">
        <v>101000</v>
      </c>
      <c r="F35" s="9" t="inlineStr">
        <is>
          <t>TRIOS CON AP</t>
        </is>
      </c>
    </row>
    <row r="36" ht="18" customHeight="1">
      <c r="A36" s="6" t="inlineStr">
        <is>
          <t>350001049918</t>
        </is>
      </c>
      <c r="B36" s="10" t="inlineStr">
        <is>
          <t>HC TRIO (3/4 STB) o DUO TV (3/4 STB) con ONT con 1 AP con 2 PUNTOS DE RED</t>
        </is>
      </c>
      <c r="C36" s="11" t="n">
        <v>81000</v>
      </c>
      <c r="D36" s="11" t="n">
        <v>91000</v>
      </c>
      <c r="E36" s="11" t="n">
        <v>102000</v>
      </c>
      <c r="F36" s="6" t="inlineStr">
        <is>
          <t>TRIOS CON AP</t>
        </is>
      </c>
    </row>
    <row r="37" ht="18" customHeight="1">
      <c r="A37" s="9" t="inlineStr">
        <is>
          <t>350001049919</t>
        </is>
      </c>
      <c r="B37" s="12" t="inlineStr">
        <is>
          <t>HC TRIO (3/4 STB) o DUO TV (3/4 STB) con ONT con 1 PUNTO DE RED</t>
        </is>
      </c>
      <c r="C37" s="13" t="n">
        <v>71000</v>
      </c>
      <c r="D37" s="13" t="n">
        <v>80000</v>
      </c>
      <c r="E37" s="13" t="n">
        <v>90000</v>
      </c>
      <c r="F37" s="9" t="inlineStr">
        <is>
          <t>TRIOS PELADOS</t>
        </is>
      </c>
    </row>
    <row r="38" ht="18" customHeight="1">
      <c r="A38" s="6" t="inlineStr">
        <is>
          <t>350001049920</t>
        </is>
      </c>
      <c r="B38" s="10" t="inlineStr">
        <is>
          <t>HC TRIO (3/4 STB) o DUO TV (3/4 STB) con ONT con 2 AP</t>
        </is>
      </c>
      <c r="C38" s="11" t="n">
        <v>87000</v>
      </c>
      <c r="D38" s="11" t="n">
        <v>100000</v>
      </c>
      <c r="E38" s="11" t="n">
        <v>110000</v>
      </c>
      <c r="F38" s="6" t="inlineStr">
        <is>
          <t>TRIOS CON AP</t>
        </is>
      </c>
    </row>
    <row r="39" ht="18" customHeight="1">
      <c r="A39" s="9" t="inlineStr">
        <is>
          <t>350001049921</t>
        </is>
      </c>
      <c r="B39" s="12" t="inlineStr">
        <is>
          <t>HC TRIO (3/4 STB) o DUO TV (3/4 STB) con ONT con 2 AP con 1 PUNTO DE RED</t>
        </is>
      </c>
      <c r="C39" s="13" t="n">
        <v>87000</v>
      </c>
      <c r="D39" s="13" t="n">
        <v>100000</v>
      </c>
      <c r="E39" s="13" t="n">
        <v>111000</v>
      </c>
      <c r="F39" s="9" t="inlineStr">
        <is>
          <t>TRIOS CON AP</t>
        </is>
      </c>
    </row>
    <row r="40" ht="18" customHeight="1">
      <c r="A40" s="6" t="inlineStr">
        <is>
          <t>350001049922</t>
        </is>
      </c>
      <c r="B40" s="10" t="inlineStr">
        <is>
          <t>HC TRIO (3/4 STB) o DUO TV (3/4 STB) con ONT con 2 AP con 2 PUNTOS DE RED</t>
        </is>
      </c>
      <c r="C40" s="11" t="n">
        <v>89000</v>
      </c>
      <c r="D40" s="11" t="n">
        <v>102000</v>
      </c>
      <c r="E40" s="11" t="n">
        <v>113000</v>
      </c>
      <c r="F40" s="6" t="inlineStr">
        <is>
          <t>TRIOS CON AP</t>
        </is>
      </c>
    </row>
    <row r="41" ht="18" customHeight="1">
      <c r="A41" s="9" t="inlineStr">
        <is>
          <t>350001049923</t>
        </is>
      </c>
      <c r="B41" s="12" t="inlineStr">
        <is>
          <t>HC TRIO (3/4 STB) o DUO TV (3/4 STB) con ONT con 2 PUNTOS DE RED</t>
        </is>
      </c>
      <c r="C41" s="13" t="n">
        <v>69000</v>
      </c>
      <c r="D41" s="13" t="n">
        <v>80000</v>
      </c>
      <c r="E41" s="13" t="n">
        <v>88000</v>
      </c>
      <c r="F41" s="9" t="inlineStr">
        <is>
          <t>TRIOS PELADOS</t>
        </is>
      </c>
    </row>
    <row r="42" ht="18" customHeight="1">
      <c r="A42" s="6" t="inlineStr">
        <is>
          <t>350001049924</t>
        </is>
      </c>
      <c r="B42" s="10" t="inlineStr">
        <is>
          <t>HC TRIO (3/4 STB) o DUO TV (3/4 STB) con ONT con 3 AP</t>
        </is>
      </c>
      <c r="C42" s="11" t="n">
        <v>88000</v>
      </c>
      <c r="D42" s="11" t="n">
        <v>100000</v>
      </c>
      <c r="E42" s="11" t="n">
        <v>111000</v>
      </c>
      <c r="F42" s="6" t="inlineStr">
        <is>
          <t>TRIOS CON AP</t>
        </is>
      </c>
    </row>
    <row r="43" ht="18" customHeight="1">
      <c r="A43" s="9" t="inlineStr">
        <is>
          <t>350001049925</t>
        </is>
      </c>
      <c r="B43" s="12" t="inlineStr">
        <is>
          <t>HC TRIO (3/4 STB) o DUO TV (3/4 STB) con ONT con 3 AP con 1 PUNTO DE RED</t>
        </is>
      </c>
      <c r="C43" s="13" t="n">
        <v>90000</v>
      </c>
      <c r="D43" s="13" t="n">
        <v>102000</v>
      </c>
      <c r="E43" s="13" t="n">
        <v>112000</v>
      </c>
      <c r="F43" s="9" t="inlineStr">
        <is>
          <t>TRIOS CON AP</t>
        </is>
      </c>
    </row>
    <row r="44" ht="18" customHeight="1">
      <c r="A44" s="6" t="inlineStr">
        <is>
          <t>350001049926</t>
        </is>
      </c>
      <c r="B44" s="10" t="inlineStr">
        <is>
          <t>HC TRIO (3/4 STB) o DUO TV (3/4 STB) con ONT con 3 AP con 2 PUNTOS DE RED</t>
        </is>
      </c>
      <c r="C44" s="11" t="n">
        <v>90000</v>
      </c>
      <c r="D44" s="11" t="n">
        <v>104000</v>
      </c>
      <c r="E44" s="11" t="n">
        <v>114000</v>
      </c>
      <c r="F44" s="6" t="inlineStr">
        <is>
          <t>TRIOS CON AP</t>
        </is>
      </c>
    </row>
    <row r="45" ht="18" customHeight="1">
      <c r="A45" s="9" t="inlineStr">
        <is>
          <t>350001049927</t>
        </is>
      </c>
      <c r="B45" s="12" t="inlineStr">
        <is>
          <t>HC TRIO (3/4 STB) o DUO TV (3/4 STB) con ONT con 4 AP</t>
        </is>
      </c>
      <c r="C45" s="13" t="n">
        <v>88000</v>
      </c>
      <c r="D45" s="13" t="n">
        <v>101000</v>
      </c>
      <c r="E45" s="13" t="n">
        <v>112000</v>
      </c>
      <c r="F45" s="9" t="inlineStr">
        <is>
          <t>TRIOS CON AP</t>
        </is>
      </c>
    </row>
    <row r="46" ht="18" customHeight="1">
      <c r="A46" s="6" t="inlineStr">
        <is>
          <t>350001049928</t>
        </is>
      </c>
      <c r="B46" s="10" t="inlineStr">
        <is>
          <t>HC TRIO (3/4 STB) o DUO TV (3/4 STB) con ONT con 4 AP con 1 PUNTO DE RED</t>
        </is>
      </c>
      <c r="C46" s="11" t="n">
        <v>90000</v>
      </c>
      <c r="D46" s="11" t="n">
        <v>104000</v>
      </c>
      <c r="E46" s="11" t="n">
        <v>114000</v>
      </c>
      <c r="F46" s="6" t="inlineStr">
        <is>
          <t>TRIOS CON AP</t>
        </is>
      </c>
    </row>
    <row r="47" ht="18" customHeight="1">
      <c r="A47" s="9" t="inlineStr">
        <is>
          <t>350001049929</t>
        </is>
      </c>
      <c r="B47" s="12" t="inlineStr">
        <is>
          <t>HC TRIO (3/4 STB) o DUO TV (3/4 STB) con ONT con 4 AP con 2 PUNTOS DE RED</t>
        </is>
      </c>
      <c r="C47" s="13" t="n">
        <v>90000</v>
      </c>
      <c r="D47" s="13" t="n">
        <v>104000</v>
      </c>
      <c r="E47" s="13" t="n">
        <v>114000</v>
      </c>
      <c r="F47" s="9" t="inlineStr">
        <is>
          <t>TRIOS CON AP</t>
        </is>
      </c>
    </row>
    <row r="48" ht="18" customHeight="1">
      <c r="A48" s="6" t="inlineStr">
        <is>
          <t>350001049930</t>
        </is>
      </c>
      <c r="B48" s="10" t="inlineStr">
        <is>
          <t>HC TRIO (5/6 STB) o DUO TV (5/6 STB) con ONT</t>
        </is>
      </c>
      <c r="C48" s="11" t="n">
        <v>100000</v>
      </c>
      <c r="D48" s="11" t="n">
        <v>110000</v>
      </c>
      <c r="E48" s="11" t="n">
        <v>120000</v>
      </c>
      <c r="F48" s="6" t="inlineStr">
        <is>
          <t>TRIOS PELADOS</t>
        </is>
      </c>
    </row>
    <row r="49" ht="18" customHeight="1">
      <c r="A49" s="9" t="inlineStr">
        <is>
          <t>350001049931</t>
        </is>
      </c>
      <c r="B49" s="12" t="inlineStr">
        <is>
          <t>HC TRIO (5/6 STB) o DUO TV (5/6 STB) con ONT con 1 AP</t>
        </is>
      </c>
      <c r="C49" s="13" t="n">
        <v>110000</v>
      </c>
      <c r="D49" s="13" t="n">
        <v>122000</v>
      </c>
      <c r="E49" s="13" t="n">
        <v>135000</v>
      </c>
      <c r="F49" s="9" t="inlineStr">
        <is>
          <t>TRIOS CON AP</t>
        </is>
      </c>
    </row>
    <row r="50" ht="18" customHeight="1">
      <c r="A50" s="6" t="inlineStr">
        <is>
          <t>350001049932</t>
        </is>
      </c>
      <c r="B50" s="10" t="inlineStr">
        <is>
          <t>HC TRIO (5/6 STB) o DUO TV (5/6 STB) con ONT con 1 AP con 1 PUNTO DE RED</t>
        </is>
      </c>
      <c r="C50" s="11" t="n">
        <v>112000</v>
      </c>
      <c r="D50" s="11" t="n">
        <v>130000</v>
      </c>
      <c r="E50" s="11" t="n">
        <v>140000</v>
      </c>
      <c r="F50" s="6" t="inlineStr">
        <is>
          <t>TRIOS CON AP</t>
        </is>
      </c>
    </row>
    <row r="51" ht="18" customHeight="1">
      <c r="A51" s="9" t="inlineStr">
        <is>
          <t>350001049933</t>
        </is>
      </c>
      <c r="B51" s="12" t="inlineStr">
        <is>
          <t>HC TRIO (5/6 STB) o DUO TV (5/6 STB) con ONT con 1 AP con 2 PUNTOS DE RED</t>
        </is>
      </c>
      <c r="C51" s="13" t="n">
        <v>114000</v>
      </c>
      <c r="D51" s="13" t="n">
        <v>133000</v>
      </c>
      <c r="E51" s="13" t="n">
        <v>145000</v>
      </c>
      <c r="F51" s="9" t="inlineStr">
        <is>
          <t>TRIOS CON AP</t>
        </is>
      </c>
    </row>
    <row r="52" ht="18" customHeight="1">
      <c r="A52" s="6" t="inlineStr">
        <is>
          <t>350001049934</t>
        </is>
      </c>
      <c r="B52" s="10" t="inlineStr">
        <is>
          <t>HC TRIO (5/6 STB) o DUO TV (5/6 STB) con ONT con 1 PUNTO DE RED</t>
        </is>
      </c>
      <c r="C52" s="11" t="n">
        <v>105000</v>
      </c>
      <c r="D52" s="11" t="n">
        <v>122000</v>
      </c>
      <c r="E52" s="11" t="n">
        <v>130000</v>
      </c>
      <c r="F52" s="6" t="inlineStr">
        <is>
          <t>TRIOS PELADOS</t>
        </is>
      </c>
    </row>
    <row r="53" ht="18" customHeight="1">
      <c r="A53" s="9" t="inlineStr">
        <is>
          <t>350001049935</t>
        </is>
      </c>
      <c r="B53" s="12" t="inlineStr">
        <is>
          <t>HC TRIO (5/6 STB) o DUO TV (5/6 STB) con ONT con 2 AP</t>
        </is>
      </c>
      <c r="C53" s="13" t="n">
        <v>112000</v>
      </c>
      <c r="D53" s="13" t="n">
        <v>130000</v>
      </c>
      <c r="E53" s="13" t="n">
        <v>145000</v>
      </c>
      <c r="F53" s="9" t="inlineStr">
        <is>
          <t>TRIOS CON AP</t>
        </is>
      </c>
    </row>
    <row r="54" ht="18" customHeight="1">
      <c r="A54" s="6" t="inlineStr">
        <is>
          <t>350001049936</t>
        </is>
      </c>
      <c r="B54" s="10" t="inlineStr">
        <is>
          <t>HC TRIO (5/6 STB) o DUO TV (5/6 STB) con ONT con 2 AP con 1 PUNTO DE RED</t>
        </is>
      </c>
      <c r="C54" s="11" t="n">
        <v>116000</v>
      </c>
      <c r="D54" s="11" t="n">
        <v>133000</v>
      </c>
      <c r="E54" s="11" t="n">
        <v>147000</v>
      </c>
      <c r="F54" s="6" t="inlineStr">
        <is>
          <t>TRIOS CON AP</t>
        </is>
      </c>
    </row>
    <row r="55" ht="18" customHeight="1">
      <c r="A55" s="9" t="inlineStr">
        <is>
          <t>350001049937</t>
        </is>
      </c>
      <c r="B55" s="12" t="inlineStr">
        <is>
          <t>HC TRIO (5/6 STB) o DUO TV (5/6 STB) con ONT con 2 AP con 2 PUNTOS DE RED</t>
        </is>
      </c>
      <c r="C55" s="13" t="n">
        <v>118000</v>
      </c>
      <c r="D55" s="13" t="n">
        <v>135000</v>
      </c>
      <c r="E55" s="13" t="n">
        <v>150000</v>
      </c>
      <c r="F55" s="9" t="inlineStr">
        <is>
          <t>TRIOS CON AP</t>
        </is>
      </c>
    </row>
    <row r="56" ht="18" customHeight="1">
      <c r="A56" s="6" t="inlineStr">
        <is>
          <t>350001049938</t>
        </is>
      </c>
      <c r="B56" s="10" t="inlineStr">
        <is>
          <t>HC TRIO (5/6 STB) o DUO TV (5/6 STB) con ONT con 2 PUNTOS DE RED</t>
        </is>
      </c>
      <c r="C56" s="11" t="n">
        <v>105000</v>
      </c>
      <c r="D56" s="11" t="n">
        <v>122000</v>
      </c>
      <c r="E56" s="11" t="n">
        <v>130000</v>
      </c>
      <c r="F56" s="6" t="inlineStr">
        <is>
          <t>TRIOS PELADOS</t>
        </is>
      </c>
    </row>
    <row r="57" ht="18" customHeight="1">
      <c r="A57" s="9" t="inlineStr">
        <is>
          <t>350001049939</t>
        </is>
      </c>
      <c r="B57" s="12" t="inlineStr">
        <is>
          <t>HC TRIO (5/6 STB) o DUO TV (5/6 STB) con ONT con 3 AP</t>
        </is>
      </c>
      <c r="C57" s="13" t="n">
        <v>115000</v>
      </c>
      <c r="D57" s="13" t="n">
        <v>134000</v>
      </c>
      <c r="E57" s="13" t="n">
        <v>148000</v>
      </c>
      <c r="F57" s="9" t="inlineStr">
        <is>
          <t>TRIOS CON AP</t>
        </is>
      </c>
    </row>
    <row r="58" ht="18" customHeight="1">
      <c r="A58" s="6" t="inlineStr">
        <is>
          <t>350001049940</t>
        </is>
      </c>
      <c r="B58" s="10" t="inlineStr">
        <is>
          <t>HC TRIO (5/6 STB) o DUO TV (5/6 STB) con ONT con 3 AP con 1 PUNTO DE RED</t>
        </is>
      </c>
      <c r="C58" s="11" t="n">
        <v>122000</v>
      </c>
      <c r="D58" s="11" t="n">
        <v>140000</v>
      </c>
      <c r="E58" s="11" t="n">
        <v>154000</v>
      </c>
      <c r="F58" s="6" t="inlineStr">
        <is>
          <t>TRIOS CON AP</t>
        </is>
      </c>
    </row>
    <row r="59" ht="18" customHeight="1">
      <c r="A59" s="9" t="inlineStr">
        <is>
          <t>350001049941</t>
        </is>
      </c>
      <c r="B59" s="12" t="inlineStr">
        <is>
          <t>HC TRIO (5/6 STB) o DUO TV (5/6 STB) con ONT con 3 AP con 2 PUNTOS DE RED</t>
        </is>
      </c>
      <c r="C59" s="13" t="n">
        <v>124000</v>
      </c>
      <c r="D59" s="13" t="n">
        <v>143000</v>
      </c>
      <c r="E59" s="13" t="n">
        <v>158000</v>
      </c>
      <c r="F59" s="9" t="inlineStr">
        <is>
          <t>TRIOS CON AP</t>
        </is>
      </c>
    </row>
    <row r="60" ht="18" customHeight="1">
      <c r="A60" s="6" t="inlineStr">
        <is>
          <t>350001049942</t>
        </is>
      </c>
      <c r="B60" s="10" t="inlineStr">
        <is>
          <t>HC TRIO (5/6 STB) o DUO TV (5/6 STB) con ONT con 4 AP</t>
        </is>
      </c>
      <c r="C60" s="11" t="n">
        <v>119000</v>
      </c>
      <c r="D60" s="11" t="n">
        <v>138000</v>
      </c>
      <c r="E60" s="11" t="n">
        <v>150000</v>
      </c>
      <c r="F60" s="6" t="inlineStr">
        <is>
          <t>TRIOS CON AP</t>
        </is>
      </c>
    </row>
    <row r="61" ht="18" customHeight="1">
      <c r="A61" s="9" t="inlineStr">
        <is>
          <t>350001049943</t>
        </is>
      </c>
      <c r="B61" s="12" t="inlineStr">
        <is>
          <t>HC TRIO (5/6 STB) o DUO TV (5/6 STB) con ONT con 4 AP con 1 PUNTO DE RED</t>
        </is>
      </c>
      <c r="C61" s="13" t="n">
        <v>122000</v>
      </c>
      <c r="D61" s="13" t="n">
        <v>143000</v>
      </c>
      <c r="E61" s="13" t="n">
        <v>154000</v>
      </c>
      <c r="F61" s="9" t="inlineStr">
        <is>
          <t>TRIOS CON AP</t>
        </is>
      </c>
    </row>
    <row r="62" ht="18" customHeight="1">
      <c r="A62" s="6" t="inlineStr">
        <is>
          <t>350001049944</t>
        </is>
      </c>
      <c r="B62" s="10" t="inlineStr">
        <is>
          <t>HC TRIO (5/6 STB) o DUO TV (5/6 STB) con ONT con 4 AP con 2 PUNTOS DE RED</t>
        </is>
      </c>
      <c r="C62" s="11" t="n">
        <v>124000</v>
      </c>
      <c r="D62" s="11" t="n">
        <v>143000</v>
      </c>
      <c r="E62" s="11" t="n">
        <v>158000</v>
      </c>
      <c r="F62" s="6" t="inlineStr">
        <is>
          <t>TRIOS CON 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2026-06-06T09:52:31Z</dcterms:created>
  <dcterms:modified xmlns:dcterms="http://purl.org/dc/terms/" xmlns:xsi="http://www.w3.org/2001/XMLSchema-instance" xsi:type="dcterms:W3CDTF">2026-06-06T09:52:31Z</dcterms:modified>
</cp:coreProperties>
</file>